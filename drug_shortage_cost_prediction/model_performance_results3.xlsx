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akipantham/Desktop/drug_shortage_platform/drug_shortage_cost_prediction/"/>
    </mc:Choice>
  </mc:AlternateContent>
  <xr:revisionPtr revIDLastSave="0" documentId="13_ncr:9_{4B51BDF3-7D14-9140-8901-528817D533FB}" xr6:coauthVersionLast="47" xr6:coauthVersionMax="47" xr10:uidLastSave="{00000000-0000-0000-0000-000000000000}"/>
  <bookViews>
    <workbookView xWindow="680" yWindow="660" windowWidth="28040" windowHeight="17160" xr2:uid="{363D98E3-31DB-0440-9BCE-66F3312D2E14}"/>
  </bookViews>
  <sheets>
    <sheet name="model_performance_results3" sheetId="1" r:id="rId1"/>
  </sheets>
  <calcPr calcId="0"/>
</workbook>
</file>

<file path=xl/sharedStrings.xml><?xml version="1.0" encoding="utf-8"?>
<sst xmlns="http://schemas.openxmlformats.org/spreadsheetml/2006/main" count="44" uniqueCount="42">
  <si>
    <t>Model</t>
  </si>
  <si>
    <t>Best_Params</t>
  </si>
  <si>
    <t>Train_MSE</t>
  </si>
  <si>
    <t>Train_RMSE</t>
  </si>
  <si>
    <t>Train_MAPE</t>
  </si>
  <si>
    <t>Train_R2</t>
  </si>
  <si>
    <t>Train_Adjusted_R2</t>
  </si>
  <si>
    <t>Val_MSE</t>
  </si>
  <si>
    <t>Val_RMSE</t>
  </si>
  <si>
    <t>Val_MAPE</t>
  </si>
  <si>
    <t>Val_R2</t>
  </si>
  <si>
    <t>Val_Adjusted_R2</t>
  </si>
  <si>
    <t>Test_MSE</t>
  </si>
  <si>
    <t>Test_RMSE</t>
  </si>
  <si>
    <t>Test_MAPE</t>
  </si>
  <si>
    <t>Test_R2</t>
  </si>
  <si>
    <t>Test_Adjusted_R2</t>
  </si>
  <si>
    <t>Overfitting_Gap_RMSE</t>
  </si>
  <si>
    <t>Overfitting_Gap_MAPE</t>
  </si>
  <si>
    <t>Sign_Prediction_Accuracy</t>
  </si>
  <si>
    <t>DecisionTreeRegressor</t>
  </si>
  <si>
    <t>{'max_depth': 10, 'min_samples_leaf': 15, 'min_samples_split': 10}</t>
  </si>
  <si>
    <t>RandomForestRegressor</t>
  </si>
  <si>
    <t>{'max_depth': 15, 'min_samples_leaf': 5, 'min_samples_split': 10, 'n_estimators': 100}</t>
  </si>
  <si>
    <t>GradientBoostingRegressor</t>
  </si>
  <si>
    <t>{'learning_rate': 0.1, 'max_depth': 5, 'min_samples_split': 10, 'n_estimators': 100, 'subsample': 0.8}</t>
  </si>
  <si>
    <t>Ridge</t>
  </si>
  <si>
    <t>{'alpha': 100.0}</t>
  </si>
  <si>
    <t>Lasso</t>
  </si>
  <si>
    <t>ElasticNet</t>
  </si>
  <si>
    <t>{'alpha': 1.0, 'l1_ratio': 0.5}</t>
  </si>
  <si>
    <t>SVR</t>
  </si>
  <si>
    <t>{'C': 100.0, 'gamma': 'scale', 'kernel': 'linear'}</t>
  </si>
  <si>
    <t>KNeighborsRegressor</t>
  </si>
  <si>
    <t>{'n_neighbors': 5, 'p': 2, 'weights': 'distance'}</t>
  </si>
  <si>
    <t>MLPRegressor</t>
  </si>
  <si>
    <t>{'activation': 'relu', 'alpha': 0.0001, 'hidden_layer_sizes': (100, 50), 'learning_rate': 'constant'}</t>
  </si>
  <si>
    <t>AdaBoostRegressor</t>
  </si>
  <si>
    <t>{'learning_rate': 0.01, 'loss': 'exponential', 'n_estimators': 50}</t>
  </si>
  <si>
    <t>ExtraTreesRegressor</t>
  </si>
  <si>
    <t>XGBRegressor</t>
  </si>
  <si>
    <t>{'colsample_bytree': 0.9, 'learning_rate': 0.1, 'max_depth': 5, 'n_estimators': 100, 'reg_alpha': 1.0, 'reg_lambda': 1.0, 'subsample': 0.9}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</si>
</sst>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Test</a:t>
            </a:r>
            <a:r>
              <a:rPr lang="en-US" baseline="0"/>
              <a:t> MAPE By Model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model_performance_results3!$O$1</c:f>
              <c:strCache>
                <c:ptCount val="1"/>
                <c:pt idx="0">
                  <c:v>Test_MAPE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model_performance_results3!$A$2:$A$13</c:f>
              <c:strCache>
                <c:ptCount val="12"/>
                <c:pt idx="0">
                  <c:v>DecisionTreeRegressor</c:v>
                </c:pt>
                <c:pt idx="1">
                  <c:v>RandomForestRegressor</c:v>
                </c:pt>
                <c:pt idx="2">
                  <c:v>GradientBoostingRegressor</c:v>
                </c:pt>
                <c:pt idx="3">
                  <c:v>Ridge</c:v>
                </c:pt>
                <c:pt idx="4">
                  <c:v>Lasso</c:v>
                </c:pt>
                <c:pt idx="5">
                  <c:v>ElasticNet</c:v>
                </c:pt>
                <c:pt idx="6">
                  <c:v>SVR</c:v>
                </c:pt>
                <c:pt idx="7">
                  <c:v>KNeighborsRegressor</c:v>
                </c:pt>
                <c:pt idx="8">
                  <c:v>MLPRegressor</c:v>
                </c:pt>
                <c:pt idx="9">
                  <c:v>AdaBoostRegressor</c:v>
                </c:pt>
                <c:pt idx="10">
                  <c:v>ExtraTreesRegressor</c:v>
                </c:pt>
                <c:pt idx="11">
                  <c:v>XGBRegressor</c:v>
                </c:pt>
              </c:strCache>
            </c:strRef>
          </c:cat>
          <c:val>
            <c:numRef>
              <c:f>model_performance_results3!$O$2:$O$13</c:f>
              <c:numCache>
                <c:formatCode>General</c:formatCode>
                <c:ptCount val="12"/>
                <c:pt idx="0">
                  <c:v>70.7105732888689</c:v>
                </c:pt>
                <c:pt idx="1">
                  <c:v>64.105495931963603</c:v>
                </c:pt>
                <c:pt idx="2">
                  <c:v>66.919136637726794</c:v>
                </c:pt>
                <c:pt idx="3">
                  <c:v>85.155740083832498</c:v>
                </c:pt>
                <c:pt idx="4">
                  <c:v>85.8786965460598</c:v>
                </c:pt>
                <c:pt idx="5">
                  <c:v>84.976367528042303</c:v>
                </c:pt>
                <c:pt idx="6">
                  <c:v>119.07746330694199</c:v>
                </c:pt>
                <c:pt idx="7">
                  <c:v>66.203797633077698</c:v>
                </c:pt>
                <c:pt idx="8">
                  <c:v>170.39259548334701</c:v>
                </c:pt>
                <c:pt idx="9">
                  <c:v>75.947501272169802</c:v>
                </c:pt>
                <c:pt idx="10">
                  <c:v>65.1367527404105</c:v>
                </c:pt>
                <c:pt idx="11">
                  <c:v>66.998602296448396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F8-7B4E-93B3-9BACE22AD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7347456"/>
        <c:axId val="575239296"/>
      </c:barChart>
      <c:catAx>
        <c:axId val="637347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39296"/>
        <c:crosses val="autoZero"/>
        <c:auto val="1"/>
        <c:lblAlgn val="ctr"/>
        <c:lblOffset val="100"/>
        <c:noMultiLvlLbl val="0"/>
      </c:catAx>
      <c:valAx>
        <c:axId val="57523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Test</a:t>
                </a:r>
                <a:r>
                  <a:rPr lang="en-US" baseline="0"/>
                  <a:t> MAPE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34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15</xdr:row>
      <xdr:rowOff>165100</xdr:rowOff>
    </xdr:from>
    <xdr:to>
      <xdr:col>12</xdr:col>
      <xdr:colOff>304800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3BA37B-2DF4-98D8-8CE6-E85999879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8DB3-5339-F945-84F5-5862395B53F0}">
  <dimension ref="A1:T13"/>
  <sheetViews>
    <sheetView tabSelected="1" workbookViewId="0">
      <selection activeCell="N23" sqref="N23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>
        <v>536369771324339</v>
      </c>
      <c r="D2">
        <v>23159658.273047499</v>
      </c>
      <c r="E2">
        <v>55.935263279860102</v>
      </c>
      <c r="F2">
        <v>0.69800229721778395</v>
      </c>
      <c r="G2">
        <v>0.69487818305107196</v>
      </c>
      <c r="H2">
        <v>1214871182469040</v>
      </c>
      <c r="I2">
        <v>34855002.258915998</v>
      </c>
      <c r="J2">
        <v>73.727341496181694</v>
      </c>
      <c r="K2">
        <v>0.43333621666857303</v>
      </c>
      <c r="L2">
        <v>0.415212641508719</v>
      </c>
      <c r="M2">
        <v>957691683685857</v>
      </c>
      <c r="N2">
        <v>30946594.056306999</v>
      </c>
      <c r="O2">
        <v>70.7105732888689</v>
      </c>
      <c r="P2">
        <v>0.55753633259517499</v>
      </c>
      <c r="Q2">
        <v>0.543385042592889</v>
      </c>
      <c r="R2">
        <v>-7786935.7832594896</v>
      </c>
      <c r="S2">
        <v>-14.775310009008701</v>
      </c>
      <c r="T2">
        <v>100</v>
      </c>
    </row>
    <row r="3" spans="1:20" x14ac:dyDescent="0.2">
      <c r="A3" t="s">
        <v>22</v>
      </c>
      <c r="B3" t="s">
        <v>23</v>
      </c>
      <c r="C3">
        <v>307393994347952</v>
      </c>
      <c r="D3">
        <v>17532655.085524</v>
      </c>
      <c r="E3">
        <v>45.461559162407099</v>
      </c>
      <c r="F3">
        <v>0.82692484717600501</v>
      </c>
      <c r="G3">
        <v>0.82513441456058401</v>
      </c>
      <c r="H3">
        <v>1002055368619410</v>
      </c>
      <c r="I3">
        <v>31655258.151204702</v>
      </c>
      <c r="J3">
        <v>67.934508879887304</v>
      </c>
      <c r="K3">
        <v>0.53260189682381098</v>
      </c>
      <c r="L3">
        <v>0.51765313019770698</v>
      </c>
      <c r="M3">
        <v>679135411586331</v>
      </c>
      <c r="N3">
        <v>26060226.621929601</v>
      </c>
      <c r="O3">
        <v>64.105495931963603</v>
      </c>
      <c r="P3">
        <v>0.68623227078837101</v>
      </c>
      <c r="Q3">
        <v>0.67619705556838205</v>
      </c>
      <c r="R3">
        <v>-8527571.5364056006</v>
      </c>
      <c r="S3">
        <v>-18.6439367695565</v>
      </c>
      <c r="T3">
        <v>100</v>
      </c>
    </row>
    <row r="4" spans="1:20" x14ac:dyDescent="0.2">
      <c r="A4" t="s">
        <v>24</v>
      </c>
      <c r="B4" t="s">
        <v>25</v>
      </c>
      <c r="C4">
        <v>88783239916003.906</v>
      </c>
      <c r="D4">
        <v>9422485.86711617</v>
      </c>
      <c r="E4">
        <v>48.645895881035699</v>
      </c>
      <c r="F4">
        <v>0.95001147355117699</v>
      </c>
      <c r="G4">
        <v>0.94949435086377598</v>
      </c>
      <c r="H4">
        <v>951940783798161</v>
      </c>
      <c r="I4">
        <v>30853537.622097101</v>
      </c>
      <c r="J4">
        <v>71.539185556886196</v>
      </c>
      <c r="K4">
        <v>0.55597731361259395</v>
      </c>
      <c r="L4">
        <v>0.541776161595939</v>
      </c>
      <c r="M4">
        <v>566239986754284</v>
      </c>
      <c r="N4">
        <v>23795797.670056801</v>
      </c>
      <c r="O4">
        <v>66.919136637726794</v>
      </c>
      <c r="P4">
        <v>0.73839114880239198</v>
      </c>
      <c r="Q4">
        <v>0.73002412797517602</v>
      </c>
      <c r="R4">
        <v>-14373311.8029407</v>
      </c>
      <c r="S4">
        <v>-18.273240756690999</v>
      </c>
      <c r="T4">
        <v>99.381443298969003</v>
      </c>
    </row>
    <row r="5" spans="1:20" x14ac:dyDescent="0.2">
      <c r="A5" t="s">
        <v>26</v>
      </c>
      <c r="B5" t="s">
        <v>27</v>
      </c>
      <c r="C5">
        <v>873975293990462</v>
      </c>
      <c r="D5">
        <v>29563073.148616701</v>
      </c>
      <c r="E5">
        <v>83.257500362206997</v>
      </c>
      <c r="F5">
        <v>0.50791684173057305</v>
      </c>
      <c r="G5">
        <v>0.50282632630019897</v>
      </c>
      <c r="H5">
        <v>1330851940883290</v>
      </c>
      <c r="I5">
        <v>36480843.478232302</v>
      </c>
      <c r="J5">
        <v>92.012842408322896</v>
      </c>
      <c r="K5">
        <v>0.37923822150245701</v>
      </c>
      <c r="L5">
        <v>0.35938443327758901</v>
      </c>
      <c r="M5">
        <v>935336062571842</v>
      </c>
      <c r="N5">
        <v>30583264.419807099</v>
      </c>
      <c r="O5">
        <v>85.155740083832498</v>
      </c>
      <c r="P5">
        <v>0.56786486553925397</v>
      </c>
      <c r="Q5">
        <v>0.55404391241151196</v>
      </c>
      <c r="R5">
        <v>-1020191.27119044</v>
      </c>
      <c r="S5">
        <v>-1.8982397216254201</v>
      </c>
      <c r="T5">
        <v>96.701030927835006</v>
      </c>
    </row>
    <row r="6" spans="1:20" x14ac:dyDescent="0.2">
      <c r="A6" t="s">
        <v>28</v>
      </c>
      <c r="B6" t="s">
        <v>27</v>
      </c>
      <c r="C6">
        <v>866656162254290</v>
      </c>
      <c r="D6">
        <v>29439024.4786455</v>
      </c>
      <c r="E6">
        <v>83.209043242540005</v>
      </c>
      <c r="F6">
        <v>0.51203780657396203</v>
      </c>
      <c r="G6">
        <v>0.50698992181438196</v>
      </c>
      <c r="H6">
        <v>1344609578810920</v>
      </c>
      <c r="I6">
        <v>36668918.429794498</v>
      </c>
      <c r="J6">
        <v>93.004634921591006</v>
      </c>
      <c r="K6">
        <v>0.372821117145818</v>
      </c>
      <c r="L6">
        <v>0.35276209104174</v>
      </c>
      <c r="M6">
        <v>949095151834237</v>
      </c>
      <c r="N6">
        <v>30807387.9424114</v>
      </c>
      <c r="O6">
        <v>85.8786965460598</v>
      </c>
      <c r="P6">
        <v>0.56150802105694697</v>
      </c>
      <c r="Q6">
        <v>0.54748375733808596</v>
      </c>
      <c r="R6">
        <v>-1368363.4637658901</v>
      </c>
      <c r="S6">
        <v>-2.66965330351979</v>
      </c>
      <c r="T6">
        <v>96.701030927835006</v>
      </c>
    </row>
    <row r="7" spans="1:20" x14ac:dyDescent="0.2">
      <c r="A7" t="s">
        <v>29</v>
      </c>
      <c r="B7" t="s">
        <v>30</v>
      </c>
      <c r="C7">
        <v>943568405443878</v>
      </c>
      <c r="D7">
        <v>30717558.585341301</v>
      </c>
      <c r="E7">
        <v>83.803972062955296</v>
      </c>
      <c r="F7">
        <v>0.468733127598984</v>
      </c>
      <c r="G7">
        <v>0.46323726340173199</v>
      </c>
      <c r="H7">
        <v>1386062357125020</v>
      </c>
      <c r="I7">
        <v>37229858.408608399</v>
      </c>
      <c r="J7">
        <v>88.2855126855289</v>
      </c>
      <c r="K7">
        <v>0.35348590817219699</v>
      </c>
      <c r="L7">
        <v>0.33280848519263001</v>
      </c>
      <c r="M7">
        <v>1012856218148630</v>
      </c>
      <c r="N7">
        <v>31825402.089347299</v>
      </c>
      <c r="O7">
        <v>84.976367528042303</v>
      </c>
      <c r="P7">
        <v>0.53204973534798905</v>
      </c>
      <c r="Q7">
        <v>0.51708330897319099</v>
      </c>
      <c r="R7">
        <v>-1107843.50400601</v>
      </c>
      <c r="S7">
        <v>-1.1723954650869599</v>
      </c>
      <c r="T7">
        <v>93.402061855670098</v>
      </c>
    </row>
    <row r="8" spans="1:20" x14ac:dyDescent="0.2">
      <c r="A8" t="s">
        <v>31</v>
      </c>
      <c r="B8" t="s">
        <v>32</v>
      </c>
      <c r="C8">
        <v>1867508714996130</v>
      </c>
      <c r="D8">
        <v>43214681.706523404</v>
      </c>
      <c r="E8">
        <v>118.942357337602</v>
      </c>
      <c r="F8">
        <v>-5.1482339249061003E-2</v>
      </c>
      <c r="G8">
        <v>-6.2359742758534002E-2</v>
      </c>
      <c r="H8">
        <v>2242258863068750</v>
      </c>
      <c r="I8">
        <v>47352495.848357901</v>
      </c>
      <c r="J8">
        <v>123.771634513601</v>
      </c>
      <c r="K8">
        <v>-4.5877874864595602E-2</v>
      </c>
      <c r="L8">
        <v>-7.9328126725936698E-2</v>
      </c>
      <c r="M8">
        <v>2307230497137930</v>
      </c>
      <c r="N8">
        <v>48033639.224380299</v>
      </c>
      <c r="O8">
        <v>119.07746330694199</v>
      </c>
      <c r="P8">
        <v>-6.5964845160721902E-2</v>
      </c>
      <c r="Q8">
        <v>-0.100057537436651</v>
      </c>
      <c r="R8">
        <v>-4818957.5178568801</v>
      </c>
      <c r="S8">
        <v>-0.13510596934001701</v>
      </c>
      <c r="T8">
        <v>74.639175257731907</v>
      </c>
    </row>
    <row r="9" spans="1:20" x14ac:dyDescent="0.2">
      <c r="A9" t="s">
        <v>33</v>
      </c>
      <c r="B9" t="s">
        <v>34</v>
      </c>
      <c r="C9">
        <v>0</v>
      </c>
      <c r="D9">
        <v>0</v>
      </c>
      <c r="E9">
        <v>0</v>
      </c>
      <c r="F9">
        <v>1</v>
      </c>
      <c r="G9">
        <v>1</v>
      </c>
      <c r="H9">
        <v>1083490540363210</v>
      </c>
      <c r="I9">
        <v>32916417.489806</v>
      </c>
      <c r="J9">
        <v>67.201430749677201</v>
      </c>
      <c r="K9">
        <v>0.494617324317285</v>
      </c>
      <c r="L9">
        <v>0.47845369929545001</v>
      </c>
      <c r="M9">
        <v>652743730714447</v>
      </c>
      <c r="N9">
        <v>25548849.890248399</v>
      </c>
      <c r="O9">
        <v>66.203797633077698</v>
      </c>
      <c r="P9">
        <v>0.69842550594585795</v>
      </c>
      <c r="Q9">
        <v>0.68878026626395505</v>
      </c>
      <c r="R9">
        <v>-25548849.890248399</v>
      </c>
      <c r="S9">
        <v>-66.203797633077698</v>
      </c>
      <c r="T9">
        <v>98.9690721649484</v>
      </c>
    </row>
    <row r="10" spans="1:20" x14ac:dyDescent="0.2">
      <c r="A10" t="s">
        <v>35</v>
      </c>
      <c r="B10" t="s">
        <v>36</v>
      </c>
      <c r="C10">
        <v>1987751674965700</v>
      </c>
      <c r="D10">
        <v>44584208.807218999</v>
      </c>
      <c r="E10">
        <v>171.02076498445899</v>
      </c>
      <c r="F10">
        <v>-0.119183950391099</v>
      </c>
      <c r="G10">
        <v>-0.130761715395145</v>
      </c>
      <c r="H10">
        <v>2382353952077900</v>
      </c>
      <c r="I10">
        <v>48809363.364808403</v>
      </c>
      <c r="J10">
        <v>168.054437913605</v>
      </c>
      <c r="K10">
        <v>-0.111223743883181</v>
      </c>
      <c r="L10">
        <v>-0.14676394891142799</v>
      </c>
      <c r="M10">
        <v>2417874770381250</v>
      </c>
      <c r="N10">
        <v>49171890.042800397</v>
      </c>
      <c r="O10">
        <v>170.39259548334701</v>
      </c>
      <c r="P10">
        <v>-0.117083667377249</v>
      </c>
      <c r="Q10">
        <v>-0.15281129000125501</v>
      </c>
      <c r="R10">
        <v>-4587681.2355814297</v>
      </c>
      <c r="S10">
        <v>0.62816950111178405</v>
      </c>
      <c r="T10">
        <v>77.525773195876297</v>
      </c>
    </row>
    <row r="11" spans="1:20" x14ac:dyDescent="0.2">
      <c r="A11" t="s">
        <v>37</v>
      </c>
      <c r="B11" t="s">
        <v>38</v>
      </c>
      <c r="C11">
        <v>718415054435653</v>
      </c>
      <c r="D11">
        <v>26803265.741988402</v>
      </c>
      <c r="E11">
        <v>72.2782242875778</v>
      </c>
      <c r="F11">
        <v>0.595503498364501</v>
      </c>
      <c r="G11">
        <v>0.59131905179585798</v>
      </c>
      <c r="H11">
        <v>1265333534187100</v>
      </c>
      <c r="I11">
        <v>35571527.015115596</v>
      </c>
      <c r="J11">
        <v>78.270164965633896</v>
      </c>
      <c r="K11">
        <v>0.409798587697707</v>
      </c>
      <c r="L11">
        <v>0.39092220990552301</v>
      </c>
      <c r="M11">
        <v>989634701183945</v>
      </c>
      <c r="N11">
        <v>31458459.9302627</v>
      </c>
      <c r="O11">
        <v>75.947501272169802</v>
      </c>
      <c r="P11">
        <v>0.54277832131561099</v>
      </c>
      <c r="Q11">
        <v>0.52815502668817904</v>
      </c>
      <c r="R11">
        <v>-4655194.1882742401</v>
      </c>
      <c r="S11">
        <v>-3.6692769845920399</v>
      </c>
      <c r="T11">
        <v>100</v>
      </c>
    </row>
    <row r="12" spans="1:20" x14ac:dyDescent="0.2">
      <c r="A12" t="s">
        <v>39</v>
      </c>
      <c r="B12" t="s">
        <v>23</v>
      </c>
      <c r="C12">
        <v>339244777343087</v>
      </c>
      <c r="D12">
        <v>18418598.680222299</v>
      </c>
      <c r="E12">
        <v>48.993848086061199</v>
      </c>
      <c r="F12">
        <v>0.80899157835551205</v>
      </c>
      <c r="G12">
        <v>0.80701562916608605</v>
      </c>
      <c r="H12">
        <v>966618655022180</v>
      </c>
      <c r="I12">
        <v>31090491.392420601</v>
      </c>
      <c r="J12">
        <v>67.720582512318003</v>
      </c>
      <c r="K12">
        <v>0.549130976190918</v>
      </c>
      <c r="L12">
        <v>0.53471085815864405</v>
      </c>
      <c r="M12">
        <v>719296302970120</v>
      </c>
      <c r="N12">
        <v>26819699.904550001</v>
      </c>
      <c r="O12">
        <v>65.1367527404105</v>
      </c>
      <c r="P12">
        <v>0.66767751502446104</v>
      </c>
      <c r="Q12">
        <v>0.65704886411906005</v>
      </c>
      <c r="R12">
        <v>-8401101.2243276909</v>
      </c>
      <c r="S12">
        <v>-16.142904654349302</v>
      </c>
      <c r="T12">
        <v>100</v>
      </c>
    </row>
    <row r="13" spans="1:20" x14ac:dyDescent="0.2">
      <c r="A13" t="s">
        <v>40</v>
      </c>
      <c r="B13" t="s">
        <v>41</v>
      </c>
      <c r="C13">
        <v>79725470084709.5</v>
      </c>
      <c r="D13">
        <v>8928912.0325328205</v>
      </c>
      <c r="E13">
        <v>45.977306364551502</v>
      </c>
      <c r="F13">
        <v>0.95511136140396802</v>
      </c>
      <c r="G13">
        <v>0.95464699617711202</v>
      </c>
      <c r="H13">
        <v>950931843926084</v>
      </c>
      <c r="I13">
        <v>30837182.814357098</v>
      </c>
      <c r="J13">
        <v>69.394940884480505</v>
      </c>
      <c r="K13">
        <v>0.55644792291942102</v>
      </c>
      <c r="L13">
        <v>0.54226182237313303</v>
      </c>
      <c r="M13">
        <v>577744546938966</v>
      </c>
      <c r="N13">
        <v>24036317.249923401</v>
      </c>
      <c r="O13">
        <v>66.998602296448396</v>
      </c>
      <c r="P13">
        <v>0.73307592055314696</v>
      </c>
      <c r="Q13">
        <v>0.724538903086829</v>
      </c>
      <c r="R13">
        <v>-15107405.217390601</v>
      </c>
      <c r="S13">
        <v>-21.021295931896798</v>
      </c>
      <c r="T13">
        <v>98.9690721649484</v>
      </c>
    </row>
  </sheetData>
  <pageMargins left="0.75" right="0.75" top="1" bottom="1" header="0.5" footer="0.5"/>
  <drawing r:id="rId1"/>
</worksheet>
</file>